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Plan" state="visible" r:id="rId5"/>
    <sheet sheetId="3" name="KPI Forecast" state="visible" r:id="rId6"/>
  </sheets>
  <calcPr calcId="171027"/>
</workbook>
</file>

<file path=xl/sharedStrings.xml><?xml version="1.0" encoding="utf-8"?>
<sst xmlns="http://schemas.openxmlformats.org/spreadsheetml/2006/main" count="78" uniqueCount="37">
  <si>
    <t>Victory Media Plan</t>
  </si>
  <si>
    <t>Deliverable Type</t>
  </si>
  <si>
    <t>media-plan</t>
  </si>
  <si>
    <t>Client</t>
  </si>
  <si>
    <t>Victory Genomics</t>
  </si>
  <si>
    <t>Mission</t>
  </si>
  <si>
    <t>Launch plan</t>
  </si>
  <si>
    <t>Lead Agent</t>
  </si>
  <si>
    <t>Nova</t>
  </si>
  <si>
    <t>Status</t>
  </si>
  <si>
    <t>draft</t>
  </si>
  <si>
    <t>Generated</t>
  </si>
  <si>
    <t>3/23/2026, 19:52:54</t>
  </si>
  <si>
    <t xml:space="preserve">Instagram awareness push
Google Search for high-intent demand capture
Email nurture for qualified prospects</t>
  </si>
  <si>
    <t>Channel</t>
  </si>
  <si>
    <t>Audience</t>
  </si>
  <si>
    <t>Objective</t>
  </si>
  <si>
    <t>Budget</t>
  </si>
  <si>
    <t>Start</t>
  </si>
  <si>
    <t>End</t>
  </si>
  <si>
    <t>KPI</t>
  </si>
  <si>
    <t>Target</t>
  </si>
  <si>
    <t>Notes</t>
  </si>
  <si>
    <t>Meta / Instagram</t>
  </si>
  <si>
    <t/>
  </si>
  <si>
    <t>Instagram awareness push</t>
  </si>
  <si>
    <t>Google Search</t>
  </si>
  <si>
    <t>Google Search for high-intent demand capture</t>
  </si>
  <si>
    <t>YouTube</t>
  </si>
  <si>
    <t>Email nurture for qualified prospects</t>
  </si>
  <si>
    <t>Total</t>
  </si>
  <si>
    <t>Spend</t>
  </si>
  <si>
    <t>Impressions</t>
  </si>
  <si>
    <t>Clicks</t>
  </si>
  <si>
    <t>CTR</t>
  </si>
  <si>
    <t>Leads</t>
  </si>
  <si>
    <t>CPL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</si>
</sst>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$#,##0.00"/>
  </numFmts>
  <fonts count="4" x14ac:knownFonts="1">
    <font>
      <color theme="1"/>
      <family val="2"/>
      <scheme val="minor"/>
      <sz val="11"/>
      <name val="Calibri"/>
    </font>
    <font>
      <b/>
      <color rgb="FF1F2937"/>
      <sz val="18"/>
      <name val="Aptos Display"/>
    </font>
    <font>
      <b/>
      <color rgb="FF4B5563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F4F6FB"/>
      </patternFill>
    </fill>
    <fill>
      <patternFill patternType="solid">
        <fgColor rgb="FFFFFFFF"/>
      </patternFill>
    </fill>
    <fill>
      <patternFill patternType="solid">
        <fgColor rgb="FF1D4ED8"/>
      </patternFill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1" xfId="0" applyFill="1" applyBorder="1" applyAlignment="1">
      <alignment vertical="top" wrapText="1"/>
    </xf>
    <xf numFmtId="164" fontId="0" fillId="0" borderId="0" xfId="0" applyNumberFormat="1"/>
    <xf numFmtId="0" fontId="3" fillId="4" borderId="0" xfId="0" applyFont="1" applyFill="1"/>
    <xf numFmtId="10" fontId="0" fillId="0" borderId="0" xfId="0" applyNumberFormat="1"/>
    <xf numFmtId="165" fontId="0" fillId="0" borderId="0" xfId="0" applyNumberFormat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8" width="16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 t="s">
        <v>10</v>
      </c>
    </row>
    <row r="8" spans="1:2" x14ac:dyDescent="0.25">
      <c r="A8" s="2" t="s">
        <v>11</v>
      </c>
      <c r="B8" t="s">
        <v>12</v>
      </c>
    </row>
    <row r="10" spans="1:8" x14ac:dyDescent="0.25">
      <c r="A10" s="3" t="s">
        <v>13</v>
      </c>
      <c r="B10" s="3"/>
      <c r="C10" s="3"/>
      <c r="D10" s="3"/>
      <c r="E10" s="3"/>
      <c r="F10" s="3"/>
      <c r="G10" s="3"/>
      <c r="H10" s="3"/>
    </row>
    <row r="11" spans="1:8" x14ac:dyDescent="0.25">
      <c r="A11" s="3"/>
      <c r="B11" s="3"/>
      <c r="C11" s="3"/>
      <c r="D11" s="3"/>
      <c r="E11" s="3"/>
      <c r="F11" s="3"/>
      <c r="G11" s="3"/>
      <c r="H11" s="3"/>
    </row>
    <row r="12" spans="1:8" x14ac:dyDescent="0.25">
      <c r="A12" s="3"/>
      <c r="B12" s="3"/>
      <c r="C12" s="3"/>
      <c r="D12" s="3"/>
      <c r="E12" s="3"/>
      <c r="F12" s="3"/>
      <c r="G12" s="3"/>
      <c r="H12" s="3"/>
    </row>
    <row r="13" spans="1:8" x14ac:dyDescent="0.25">
      <c r="A13" s="3"/>
      <c r="B13" s="3"/>
      <c r="C13" s="3"/>
      <c r="D13" s="3"/>
      <c r="E13" s="3"/>
      <c r="F13" s="3"/>
      <c r="G13" s="3"/>
      <c r="H13" s="3"/>
    </row>
    <row r="14" spans="1:8" x14ac:dyDescent="0.25">
      <c r="A14" s="3"/>
      <c r="B14" s="3"/>
      <c r="C14" s="3"/>
      <c r="D14" s="3"/>
      <c r="E14" s="3"/>
      <c r="F14" s="3"/>
      <c r="G14" s="3"/>
      <c r="H14" s="3"/>
    </row>
    <row r="15" spans="1:8" x14ac:dyDescent="0.25">
      <c r="A15" s="3"/>
      <c r="B15" s="3"/>
      <c r="C15" s="3"/>
      <c r="D15" s="3"/>
      <c r="E15" s="3"/>
      <c r="F15" s="3"/>
      <c r="G15" s="3"/>
      <c r="H15" s="3"/>
    </row>
    <row r="16" spans="1:8" x14ac:dyDescent="0.25">
      <c r="A16" s="3"/>
      <c r="B16" s="3"/>
      <c r="C16" s="3"/>
      <c r="D16" s="3"/>
      <c r="E16" s="3"/>
      <c r="F16" s="3"/>
      <c r="G16" s="3"/>
      <c r="H16" s="3"/>
    </row>
    <row r="17" spans="1:8" x14ac:dyDescent="0.25">
      <c r="A17" s="3"/>
      <c r="B17" s="3"/>
      <c r="C17" s="3"/>
      <c r="D17" s="3"/>
      <c r="E17" s="3"/>
      <c r="F17" s="3"/>
      <c r="G17" s="3"/>
      <c r="H17" s="3"/>
    </row>
    <row r="18" spans="1:8" x14ac:dyDescent="0.25">
      <c r="A18" s="3"/>
      <c r="B18" s="3"/>
      <c r="C18" s="3"/>
      <c r="D18" s="3"/>
      <c r="E18" s="3"/>
      <c r="F18" s="3"/>
      <c r="G18" s="3"/>
      <c r="H18" s="3"/>
    </row>
  </sheetData>
  <mergeCells count="2">
    <mergeCell ref="A1:H1"/>
    <mergeCell ref="A10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22" customWidth="1"/>
    <col min="4" max="4" width="14" style="4" customWidth="1"/>
    <col min="5" max="6" width="12" customWidth="1"/>
    <col min="7" max="8" width="16" customWidth="1"/>
    <col min="9" max="9" width="42" customWidth="1"/>
  </cols>
  <sheetData>
    <row r="1" spans="1:9" s="5" customFormat="1" x14ac:dyDescent="0.25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</row>
    <row r="2" spans="1:9" x14ac:dyDescent="0.25">
      <c r="A2" t="s">
        <v>23</v>
      </c>
      <c r="B2" t="s">
        <v>24</v>
      </c>
      <c r="C2" t="s">
        <v>24</v>
      </c>
      <c r="D2">
        <v>5000</v>
      </c>
      <c r="E2" t="s">
        <v>24</v>
      </c>
      <c r="F2" t="s">
        <v>24</v>
      </c>
      <c r="G2" t="s">
        <v>24</v>
      </c>
      <c r="H2" t="s">
        <v>24</v>
      </c>
      <c r="I2" t="s">
        <v>25</v>
      </c>
    </row>
    <row r="3" spans="1:9" x14ac:dyDescent="0.25">
      <c r="A3" t="s">
        <v>26</v>
      </c>
      <c r="B3" t="s">
        <v>24</v>
      </c>
      <c r="C3" t="s">
        <v>24</v>
      </c>
      <c r="D3">
        <v>3000</v>
      </c>
      <c r="E3" t="s">
        <v>24</v>
      </c>
      <c r="F3" t="s">
        <v>24</v>
      </c>
      <c r="G3" t="s">
        <v>24</v>
      </c>
      <c r="H3" t="s">
        <v>24</v>
      </c>
      <c r="I3" t="s">
        <v>27</v>
      </c>
    </row>
    <row r="4" spans="1:9" x14ac:dyDescent="0.25">
      <c r="A4" t="s">
        <v>28</v>
      </c>
      <c r="B4" t="s">
        <v>24</v>
      </c>
      <c r="C4" t="s">
        <v>24</v>
      </c>
      <c r="D4">
        <v>1500</v>
      </c>
      <c r="E4" t="s">
        <v>24</v>
      </c>
      <c r="F4" t="s">
        <v>24</v>
      </c>
      <c r="G4" t="s">
        <v>24</v>
      </c>
      <c r="H4" t="s">
        <v>24</v>
      </c>
      <c r="I4" t="s">
        <v>29</v>
      </c>
    </row>
    <row r="5" spans="1:9" x14ac:dyDescent="0.25">
      <c r="A5" t="s">
        <v>30</v>
      </c>
      <c r="B5" t="s">
        <v>24</v>
      </c>
      <c r="C5" t="s">
        <v>24</v>
      </c>
      <c r="D5">
        <f>SUM(D2:D7)</f>
      </c>
      <c r="E5" t="s">
        <v>24</v>
      </c>
      <c r="F5" t="s">
        <v>24</v>
      </c>
      <c r="G5" t="s">
        <v>24</v>
      </c>
      <c r="H5" t="s">
        <v>24</v>
      </c>
      <c r="I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style="4" customWidth="1"/>
    <col min="3" max="4" width="14" customWidth="1"/>
    <col min="5" max="5" width="12" style="6" customWidth="1"/>
    <col min="6" max="6" width="12" customWidth="1"/>
    <col min="7" max="7" width="14" style="7" customWidth="1"/>
    <col min="8" max="8" width="42" customWidth="1"/>
  </cols>
  <sheetData>
    <row r="1" spans="1:8" s="8" customFormat="1" x14ac:dyDescent="0.25">
      <c r="A1" s="8" t="s">
        <v>14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8" t="s">
        <v>22</v>
      </c>
    </row>
    <row r="2" spans="1:8" x14ac:dyDescent="0.25">
      <c r="A2" t="s">
        <v>23</v>
      </c>
      <c r="B2">
        <v>5000</v>
      </c>
      <c r="C2" t="s">
        <v>24</v>
      </c>
      <c r="D2" t="s">
        <v>24</v>
      </c>
      <c r="E2">
        <f>IF(C2=0,0,D2/C2)</f>
      </c>
      <c r="F2" t="s">
        <v>24</v>
      </c>
      <c r="G2">
        <f>IF(F2=0,0,B2/F2)</f>
      </c>
      <c r="H2" t="s">
        <v>25</v>
      </c>
    </row>
    <row r="3" spans="1:8" x14ac:dyDescent="0.25">
      <c r="A3" t="s">
        <v>26</v>
      </c>
      <c r="B3">
        <v>3000</v>
      </c>
      <c r="C3" t="s">
        <v>24</v>
      </c>
      <c r="D3" t="s">
        <v>24</v>
      </c>
      <c r="E3">
        <f>IF(C3=0,0,D3/C3)</f>
      </c>
      <c r="F3" t="s">
        <v>24</v>
      </c>
      <c r="G3">
        <f>IF(F3=0,0,B3/F3)</f>
      </c>
      <c r="H3" t="s">
        <v>27</v>
      </c>
    </row>
    <row r="4" spans="1:8" x14ac:dyDescent="0.25">
      <c r="A4" t="s">
        <v>28</v>
      </c>
      <c r="B4">
        <v>1500</v>
      </c>
      <c r="C4" t="s">
        <v>24</v>
      </c>
      <c r="D4" t="s">
        <v>24</v>
      </c>
      <c r="E4">
        <f>IF(C4=0,0,D4/C4)</f>
      </c>
      <c r="F4" t="s">
        <v>24</v>
      </c>
      <c r="G4">
        <f>IF(F4=0,0,B4/F4)</f>
      </c>
      <c r="H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Plan</vt:lpstr>
      <vt:lpstr>KPI Forecast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Mission Control</dc:creator>
  <dc:title/>
  <dc:subject/>
  <dc:description/>
  <cp:keywords/>
  <cp:category/>
  <cp:lastModifiedBy>Unknown</cp:lastModifiedBy>
  <dcterms:created xsi:type="dcterms:W3CDTF">2026-03-23T18:52:54Z</dcterms:created>
  <dcterms:modified xsi:type="dcterms:W3CDTF">2026-03-23T18:52:54Z</dcterms:modified>
</cp:coreProperties>
</file>